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_Digital Twin\1_Концепция\1_Замысел о Цифровых двойниках\2_Наработки\Замысел_v7\"/>
    </mc:Choice>
  </mc:AlternateContent>
  <xr:revisionPtr revIDLastSave="0" documentId="13_ncr:1_{EEA7EE36-35D6-4FDC-A326-2D13D02CD702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Участники рынка ЦД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4" i="2" s="1"/>
</calcChain>
</file>

<file path=xl/sharedStrings.xml><?xml version="1.0" encoding="utf-8"?>
<sst xmlns="http://schemas.openxmlformats.org/spreadsheetml/2006/main" count="565" uniqueCount="338">
  <si>
    <t>Категория</t>
  </si>
  <si>
    <t>Компания</t>
  </si>
  <si>
    <t>Основные отрасли</t>
  </si>
  <si>
    <t>Magic Quadrant 2025</t>
  </si>
  <si>
    <t>Оценка дохода от платформ Digital Twin ($ млрд)</t>
  </si>
  <si>
    <t>Доля DT в годовой выручке (%)</t>
  </si>
  <si>
    <t>Страна</t>
  </si>
  <si>
    <t>Сопровождение производства (DT)</t>
  </si>
  <si>
    <t>Эксплуатация (датчики → модели)</t>
  </si>
  <si>
    <t>Корпоративная</t>
  </si>
  <si>
    <t>Облачная PaaS</t>
  </si>
  <si>
    <t>Стартап</t>
  </si>
  <si>
    <t>Образовательно‑индустриальная PaaS</t>
  </si>
  <si>
    <t>Siemens</t>
  </si>
  <si>
    <t>Dassault Systèmes</t>
  </si>
  <si>
    <t>PTC</t>
  </si>
  <si>
    <t>Ansys</t>
  </si>
  <si>
    <t>GE Vernova</t>
  </si>
  <si>
    <t>Bentley Systems</t>
  </si>
  <si>
    <t>Hexagon</t>
  </si>
  <si>
    <t>Altair</t>
  </si>
  <si>
    <t>Microsoft</t>
  </si>
  <si>
    <t>AWS</t>
  </si>
  <si>
    <t>Google Cloud</t>
  </si>
  <si>
    <t>SAP</t>
  </si>
  <si>
    <t>Akselos</t>
  </si>
  <si>
    <t>Sight Machine</t>
  </si>
  <si>
    <t>TwinThread</t>
  </si>
  <si>
    <t>Huawei</t>
  </si>
  <si>
    <t>Alibaba</t>
  </si>
  <si>
    <t>Tencent</t>
  </si>
  <si>
    <t>Baidu</t>
  </si>
  <si>
    <t>Haier</t>
  </si>
  <si>
    <t>iROOTECH</t>
  </si>
  <si>
    <t>Foxconn</t>
  </si>
  <si>
    <t>51WORLD</t>
  </si>
  <si>
    <t>SenseTime</t>
  </si>
  <si>
    <t>Cifra</t>
  </si>
  <si>
    <t>Gazprom Neft</t>
  </si>
  <si>
    <t>Rosatom</t>
  </si>
  <si>
    <t>Rostec</t>
  </si>
  <si>
    <t>CML-Bench</t>
  </si>
  <si>
    <t>Xcelerator</t>
  </si>
  <si>
    <t>3DEXPERIENCE Twin</t>
  </si>
  <si>
    <t>ThingWorx + Windchill</t>
  </si>
  <si>
    <t>Twin Builder 2025 R1</t>
  </si>
  <si>
    <t>Predix Digital Twin</t>
  </si>
  <si>
    <t>iTwin Platform</t>
  </si>
  <si>
    <t>Nexus</t>
  </si>
  <si>
    <t>Digital Twin Suite</t>
  </si>
  <si>
    <t>Azure Digital Twins + Fabric DT Builder</t>
  </si>
  <si>
    <t>IoT TwinMaker</t>
  </si>
  <si>
    <t>Supply Chain Digital Twin</t>
  </si>
  <si>
    <t>SAP BTP Digital Twin</t>
  </si>
  <si>
    <t>Akselos Structural DT</t>
  </si>
  <si>
    <t>Sight Machine AI Platform</t>
  </si>
  <si>
    <t>TwinThread AI DT</t>
  </si>
  <si>
    <t>Huawei Cloud Digital Twin Service</t>
  </si>
  <si>
    <t>Alibaba Cloud Industrial Digital Twin</t>
  </si>
  <si>
    <t>Tencent Cloud Digital Twin City Platform</t>
  </si>
  <si>
    <t>Baidu Apollo Digital Twin</t>
  </si>
  <si>
    <t>COSMOPlat Digital Twin</t>
  </si>
  <si>
    <t>RootCloud</t>
  </si>
  <si>
    <t>MIH Digital Twin</t>
  </si>
  <si>
    <t>TwinCity / TwinFactory</t>
  </si>
  <si>
    <t>SenseCore Twin</t>
  </si>
  <si>
    <t>Zyfra Industrial Digital Platform</t>
  </si>
  <si>
    <t>Нац-платформа Газпром Нефти DT</t>
  </si>
  <si>
    <t>ТМИК/РХК Digital Twin</t>
  </si>
  <si>
    <t>IIoT.Istok</t>
  </si>
  <si>
    <t>CML-Bench Smart Digital Twin Platform</t>
  </si>
  <si>
    <t>PDT; SDT; Process</t>
  </si>
  <si>
    <t>SDT; Process</t>
  </si>
  <si>
    <t>PDT; SDT</t>
  </si>
  <si>
    <t>Process</t>
  </si>
  <si>
    <t>PDT; Process</t>
  </si>
  <si>
    <t>Авиакосмическая; Производство; Энергетика</t>
  </si>
  <si>
    <t>Автомобилестроение; Биомедицина и фармацевтика; Авиакосмическая</t>
  </si>
  <si>
    <t>Промышленность; Электроника</t>
  </si>
  <si>
    <t>Энергетика; Транспорт; Электроника</t>
  </si>
  <si>
    <t>Электроэнергетика; Возобновляемая энергетика</t>
  </si>
  <si>
    <t>Инфраструктура; Строительство</t>
  </si>
  <si>
    <t>Горнодобывающая промышленность; Производство; Авиакосмическая</t>
  </si>
  <si>
    <t>Автомобилестроение; Авиакосмическая; Энергетика</t>
  </si>
  <si>
    <t>Умные здания; Коммунальные услуги; Производство</t>
  </si>
  <si>
    <t>Промышленность; Энергетика; Умные объекты</t>
  </si>
  <si>
    <t>Ритейл; Цепочки поставок</t>
  </si>
  <si>
    <t>Энергетика; Транспорт; Коммунальные услуги</t>
  </si>
  <si>
    <t>Шельфовая энергетика; Металлургия</t>
  </si>
  <si>
    <t>Дискретное производство; Пищевая промышленность</t>
  </si>
  <si>
    <t>Производство; Коммунальные услуги</t>
  </si>
  <si>
    <t>Умные города; Производство; Инфраструктура</t>
  </si>
  <si>
    <t>Производство; Логистика; Ритейл</t>
  </si>
  <si>
    <t>Умные города; Девелопмент</t>
  </si>
  <si>
    <t>Автомобильная; Роботакси</t>
  </si>
  <si>
    <t>Производство; Потребительские товары</t>
  </si>
  <si>
    <t>Промышленность; SMB</t>
  </si>
  <si>
    <t>Электромобили; Электроника</t>
  </si>
  <si>
    <t>Умные города; Производство</t>
  </si>
  <si>
    <t>Smart‑city; Manufacturing</t>
  </si>
  <si>
    <t>Нефтехимия; ГМК; Машиностроение</t>
  </si>
  <si>
    <t>Нефтегаз; Энергетика</t>
  </si>
  <si>
    <t>Атомная энергетика</t>
  </si>
  <si>
    <t>Образование; Машиностроение</t>
  </si>
  <si>
    <t>Авиация; Машиностроение; Композиты</t>
  </si>
  <si>
    <t>Да</t>
  </si>
  <si>
    <t>Нет</t>
  </si>
  <si>
    <t>Лидер</t>
  </si>
  <si>
    <t>Нишевой игрок</t>
  </si>
  <si>
    <t>Претендент</t>
  </si>
  <si>
    <t>Визионер</t>
  </si>
  <si>
    <t>Н/Д</t>
  </si>
  <si>
    <t>Германия</t>
  </si>
  <si>
    <t>Франция</t>
  </si>
  <si>
    <t>США</t>
  </si>
  <si>
    <t>Швеция</t>
  </si>
  <si>
    <t>Швейцария</t>
  </si>
  <si>
    <t>Китай</t>
  </si>
  <si>
    <t>Россия</t>
  </si>
  <si>
    <t>нет</t>
  </si>
  <si>
    <t>да</t>
  </si>
  <si>
    <t>Разработчики: CAE‑компании; Пользователи: авто, энергетика; Сервисы: Ansys Cloud Marketplace, ROM library; Правила: лицензия Ansys IP‑vault.</t>
  </si>
  <si>
    <t>Разработчики: партнёры Predix; Пользователи: энергоблоки; Сервисы: Blueprint Library, Edge Manager; Правила: Dev‑guide, tenant isolation.</t>
  </si>
  <si>
    <t>Разработчики: ISV, консультанты; Пользователи: владельцы инфраструктуры; Сервисы: iTwin Marketplace, Open API; Правила: open‑source SDK, badge.</t>
  </si>
  <si>
    <t>Разработчики: Nexus‑dev; Пользователи: производства; Сервисы: Visual Flow Store, GPU credits; Правила: Hexagon Verified, split 80/20.</t>
  </si>
  <si>
    <t>Разработчики: CAE инженеры; Пользователи: авто, авиа; Сервисы: Altair One Marketplace, HPC credits; Правила: token‑licensing.</t>
  </si>
  <si>
    <t>Разработчики: community, ISV; Пользователи: IoT dev, smart‑building операторы; Сервисы: DTDL Gallery, Azure Marketplace, Copilot; Правила: MIT/BSD, listing fee.</t>
  </si>
  <si>
    <t>Разработчики: ISV/интеграторы; Пользователи: заводы, FM; Сервисы: Solutions Library, Scene Composer; Правила: Well‑Architected gate, rev‑share 80/20.</t>
  </si>
  <si>
    <t>Разработчики: GCP‑партнёры; Пользователи: ритейл, логистика; Сервисы: Data Connector Gallery, Looker Blocks; Правила: Data Clean Room, NDA.</t>
  </si>
  <si>
    <t>Разработчики: SI/партнёры; Пользователи: клиенты SAP; Сервисы: BTP Store, Low‑code IDE; Правила: SAP Store terms, indirect fee.</t>
  </si>
  <si>
    <t>Разработчики: инж. бюро; Пользователи: офшор‑энергетика; Сервисы: Model Exchange Hub; Правила: capsule‑license, vetting.</t>
  </si>
  <si>
    <t>—</t>
  </si>
  <si>
    <t>Разработчики: ISV, 51WORLD; Пользователи: города, заводы; Сервисы: Cloud Marketplace, Academy; Правила: Huawei Verified, 80/20</t>
  </si>
  <si>
    <t>Разработчики: OEM, Bosch Rexroth; Пользователи: заводы; Сервисы: DataWorks ETL, Marketplace; Правила: SLA 99,9 %</t>
  </si>
  <si>
    <t>Разработчики: ISV; Пользователи: мэрии; Сервисы: Twin‑City SDK; Правила: Pay‑per‑use</t>
  </si>
  <si>
    <t>Разработчики: авто‑OEM; Пользователи: роботакси парки; Сервисы: Simulation Platform; Правила: Apache 2.0</t>
  </si>
  <si>
    <t>Разработчики: машиностроит. бюро; Пользователи: резиденты; Сервисы: AppStore, Edge GPU; Правила: C2M rules</t>
  </si>
  <si>
    <t>Разработчики: инж‑бюро; Пользователи: SMB-фабрики; Сервисы: Analytics Hub; Правила: платная публикация</t>
  </si>
  <si>
    <t>Разработчики: поставщики компонентов; Пользователи: EV‑стартапы; Сервисы: MIH SDK; Правила: Open‑EV Alliance</t>
  </si>
  <si>
    <t>Разработчики: BIM‑студии; Пользователи: девелоперы; Сервисы: Marketplace 75/25; Правила: рев-share</t>
  </si>
  <si>
    <t>Разработчики: AI‑лаборатории; Пользователи: умные заводы; Сервисы: GPU‑cloud, AutoML; Правила: Bias audit</t>
  </si>
  <si>
    <t>Разработчики: ISV; Пользователи: промпредприятия; Сервисы: Cifra.Market, GPU-облако; Правила: rev-share 70/30, Z-CERT</t>
  </si>
  <si>
    <t>Разработчики: сервисные компании; Пользователи: дочки добычи; Сервисы: репозиторий моделей, Data Lake; Правила: открытый API, рев-share</t>
  </si>
  <si>
    <t>Разработчики: НИЦ; Пользователи: АЭС; Сервисы: HPC кластер, библиотека материалов; Правила: Rosatom Certified</t>
  </si>
  <si>
    <t>Разработчики: технопарки; Пользователи: колледжи; Сервисы: marketplace полигонов; Правила: edu-licence</t>
  </si>
  <si>
    <t>Разработчики: CompMechLab; Пользователи: авиадвигатели; Сервисы: HPC, ROM библиотека; Правила: лицензия СПбПУ</t>
  </si>
  <si>
    <t>да — NX, Teamcenter, Simcenter (MBSE/CAE)</t>
  </si>
  <si>
    <t>да — CATIA, SIMULIA, 3DEXPERIENCE</t>
  </si>
  <si>
    <t>да — Creo/Onshape + Windchill</t>
  </si>
  <si>
    <t>да — Twin Builder + Fluent/Mechanical ROM</t>
  </si>
  <si>
    <t>да — MicroStation/OpenRoads → iTwin</t>
  </si>
  <si>
    <t>да — MSC Apex, CAEflow</t>
  </si>
  <si>
    <t>да — HyperWorks, SimSolid</t>
  </si>
  <si>
    <t>да — Akselos Composer ROM</t>
  </si>
  <si>
    <t>да — DT Designer low‑code</t>
  </si>
  <si>
    <t>да — Visual Factory designer</t>
  </si>
  <si>
    <t>да — SceneGraph Builder</t>
  </si>
  <si>
    <t>да — Apollo Simulation Authoring</t>
  </si>
  <si>
    <t>да — COSMOPlat CAD/planning</t>
  </si>
  <si>
    <t>да — MIH EV component ROM</t>
  </si>
  <si>
    <t>да — USD TwinFactory modeller</t>
  </si>
  <si>
    <t>да — CAD интеграция Zyfra</t>
  </si>
  <si>
    <t>да — ROM пласта</t>
  </si>
  <si>
    <t>да — CAD/CAE Симуляция</t>
  </si>
  <si>
    <t>да — no‑code robot twin</t>
  </si>
  <si>
    <t>да — GPU CAE/ROM</t>
  </si>
  <si>
    <t>да — Opcenter MES + MindSphere Edge</t>
  </si>
  <si>
    <t>да — DELMIA MES &amp; Virtual Factory</t>
  </si>
  <si>
    <t>да — ThingWorx DPM/Flow</t>
  </si>
  <si>
    <t>да — Predix Plant Apps</t>
  </si>
  <si>
    <t>да — SYNCHRO 4D Construction</t>
  </si>
  <si>
    <t>да — Nexus Q‑DAS QC + Alix</t>
  </si>
  <si>
    <t>да — Manufacturing Simulation Suite</t>
  </si>
  <si>
    <t>да — Azure IoT/Factory Solutions</t>
  </si>
  <si>
    <t>да — TwinMaker + IoT SiteWise</t>
  </si>
  <si>
    <t>да — Manufacturing Data Engine</t>
  </si>
  <si>
    <t>да — Digital Manufacturing Cloud</t>
  </si>
  <si>
    <t>да — Real‑Time Factory Analytics</t>
  </si>
  <si>
    <t>да — Reliability Twin for production</t>
  </si>
  <si>
    <t>да — FusionPlant MES integration</t>
  </si>
  <si>
    <t>да — DT Platform + DataWorks ETL</t>
  </si>
  <si>
    <t>да — TwinCity production ops</t>
  </si>
  <si>
    <t>да — COSMOPlat MES</t>
  </si>
  <si>
    <t>да — RootCloud MES/Genes</t>
  </si>
  <si>
    <t>да — MIH factory sim</t>
  </si>
  <si>
    <t>да — TwinFactory process monitor</t>
  </si>
  <si>
    <t>да — SenseFoundry industrial AI</t>
  </si>
  <si>
    <t>да — MES Zyfra</t>
  </si>
  <si>
    <t>да — SCADA Twin</t>
  </si>
  <si>
    <t>да — радиохим технологические линии</t>
  </si>
  <si>
    <t>да — MindSphere/Industrial Edge ingest sensor data</t>
  </si>
  <si>
    <t>да — 3DEX IoT Dashboard + Netvibes</t>
  </si>
  <si>
    <t>да — ThingWorx IoT Hub</t>
  </si>
  <si>
    <t>да — Twin Runtime on Edge GPU</t>
  </si>
  <si>
    <t>да — Predix APM real‑time streams</t>
  </si>
  <si>
    <t>да — iTwin IoT sensors</t>
  </si>
  <si>
    <t>да — Nexus Edge Streaming</t>
  </si>
  <si>
    <t>да — Altair SmartWorks IoT</t>
  </si>
  <si>
    <t>да — Azure Digital Twins + IoT Hub</t>
  </si>
  <si>
    <t>да — IoT TwinMaker + SiteWise ingestion</t>
  </si>
  <si>
    <t>да — Pub/Sub &amp; Dataflow sensors</t>
  </si>
  <si>
    <t>да — Asset Central / IoT Services</t>
  </si>
  <si>
    <t>да — Sensor API to structural ROM</t>
  </si>
  <si>
    <t>да — Continuous OPC/MQTT streams</t>
  </si>
  <si>
    <t>да — Edge agent streams</t>
  </si>
  <si>
    <t>да — IoT Hub &amp; Ascend Edge</t>
  </si>
  <si>
    <t>да — Link IoT Core</t>
  </si>
  <si>
    <t>да — TIoT Gateway</t>
  </si>
  <si>
    <t>да — Vehicle telemetry to twin</t>
  </si>
  <si>
    <t>да — COSMOPlat Edge Gateways</t>
  </si>
  <si>
    <t>да — RootEdge connectors</t>
  </si>
  <si>
    <t>да — CAN‑bus &amp; EV sensors</t>
  </si>
  <si>
    <t>да — IoT to TwinFactory</t>
  </si>
  <si>
    <t>да — SenseCore IoT ingestion</t>
  </si>
  <si>
    <t>да — SCADA Zyfra Edge</t>
  </si>
  <si>
    <t>да — скважинные датчики</t>
  </si>
  <si>
    <t>да — датчики дозиметрии</t>
  </si>
  <si>
    <t>да — Edge сенсоры турбин</t>
  </si>
  <si>
    <t>да — Predictive Services, Xcelerator Analytics</t>
  </si>
  <si>
    <t>да — Netvibes predictive maintenance</t>
  </si>
  <si>
    <t>да — ServiceMax + DPM analytics</t>
  </si>
  <si>
    <t>да — Twin Builder predictive ML</t>
  </si>
  <si>
    <t>да — Predix APM predictive</t>
  </si>
  <si>
    <t>да — iTwin Asset Health analytics</t>
  </si>
  <si>
    <t>да — Alix AI predictive quality</t>
  </si>
  <si>
    <t>да — Altair Predictive Twin analytics</t>
  </si>
  <si>
    <t>да — Amazon Monitron / Lookout for Equipment</t>
  </si>
  <si>
    <t>да — Vertex AI predictive models</t>
  </si>
  <si>
    <t>да — Predictive Maintenance Service</t>
  </si>
  <si>
    <t>да — Structural health monitoring</t>
  </si>
  <si>
    <t>да — Predictive Quality models</t>
  </si>
  <si>
    <t>да — Automated Reliability AI</t>
  </si>
  <si>
    <t>да — Pangu AI predictive maint.</t>
  </si>
  <si>
    <t>да — AI‑EPM predictive</t>
  </si>
  <si>
    <t>да — AI City Ops predictive</t>
  </si>
  <si>
    <t>да — Apollo Health prognostics</t>
  </si>
  <si>
    <t>да — COSMOPlat predictive maintenance</t>
  </si>
  <si>
    <t>да — RootCloud predictive service</t>
  </si>
  <si>
    <t>да — Battery health prediction</t>
  </si>
  <si>
    <t>да — AI predictive anomalies</t>
  </si>
  <si>
    <t>да — Predictive ML Zyfra</t>
  </si>
  <si>
    <t>да — предиктив фонтанной арматуры</t>
  </si>
  <si>
    <t>да — Asset health reactor</t>
  </si>
  <si>
    <t>да — Smart DT Service</t>
  </si>
  <si>
    <t>Платформа Цифровых двойников</t>
  </si>
  <si>
    <t>Уровни цифровогно двойника</t>
  </si>
  <si>
    <t>Доля рынка 2025 
% 
(оценка)</t>
  </si>
  <si>
    <t>Годовая выручка компании 2024 
($ млрд)</t>
  </si>
  <si>
    <t>LLM‑копилот (наличие / описание)</t>
  </si>
  <si>
    <t>Low-/no‑code подход (наличие / описание)</t>
  </si>
  <si>
    <t>GPU + Hybrid‑Analytics (наличие / описание)</t>
  </si>
  <si>
    <t>Гибридный цифровой двойник (наличие / описание)</t>
  </si>
  <si>
    <t>Экосистемный хаб 
(да/нет)</t>
  </si>
  <si>
    <t>Экосистемный хаб: 
описание (разработчики, пользователи, сервисы, правила)</t>
  </si>
  <si>
    <t>Разработка / проектирование (DT)</t>
  </si>
  <si>
    <t>Сервисное ТО /предиктивная аналитика 
(DT)</t>
  </si>
  <si>
    <t>AI/ML</t>
  </si>
  <si>
    <t>да
3DEXPERIENCE Twin Dashboard с шаблонами «Asset Template»</t>
  </si>
  <si>
    <t>да
ThingWorx Composer/Flow — визуальная сборка логики и моделей</t>
  </si>
  <si>
    <t>да
Mendix/Industrial Edge визуальный Twin‑Designer (drag‑and‑drop шаблоны активов)</t>
  </si>
  <si>
    <t>Да
Industrial &amp; Design Copilot: GenAI создаёт twin-граф, BOM и симуляцию из текстового запроса</t>
  </si>
  <si>
    <t>да
Predix Studio визуальная настройка twin и потоков данных</t>
  </si>
  <si>
    <t>да
iTwin Design Review drag‑and‑drop построение объекта</t>
  </si>
  <si>
    <t>Да
HxGN Alix генерирует twin‑модели и AI‑аналитику в платформе Nexus</t>
  </si>
  <si>
    <t>да
Nexus Visual Flow Editor с блок‑схемами процессов</t>
  </si>
  <si>
    <t>Да
Copilot в Fabric Digital Twin Builder: текст→граф Azure DT и дашборды KPI</t>
  </si>
  <si>
    <t>да
Fabric Digital Twin Builder (text‑to‑graph, no‑code)</t>
  </si>
  <si>
    <t>да
Visual Scene Composer (drag‑and‑connect)</t>
  </si>
  <si>
    <t>да
Supply Chain Twin wizard визуальное связывание источников</t>
  </si>
  <si>
    <t>да
SAP Build / low‑code окружение в BTP для Twin</t>
  </si>
  <si>
    <t>да
мастера конфигурации шаблонов и GUI</t>
  </si>
  <si>
    <t>Да
Pangu Digital Twin Copilot: text‑to‑graph и AI‑симуляция</t>
  </si>
  <si>
    <t>да
Twin Designer визуальный drag‑and‑drop</t>
  </si>
  <si>
    <t>да
Visual Factory low‑code</t>
  </si>
  <si>
    <t>да
SceneGraph Builder wizard</t>
  </si>
  <si>
    <t>да
Apollo Simulation low‑code</t>
  </si>
  <si>
    <t>да
Low‑code MES AppStore</t>
  </si>
  <si>
    <t>да
Model Gallery</t>
  </si>
  <si>
    <t>да
USD-сцены drag‑drop</t>
  </si>
  <si>
    <t>да
Low-code Twin Designer</t>
  </si>
  <si>
    <t>да
Twin Blueprint Designer</t>
  </si>
  <si>
    <t>да
Kids конструктора</t>
  </si>
  <si>
    <t>да
Simcenter GPU CFD + ROM; интеграция с Omniverse/Xcelerator Connector</t>
  </si>
  <si>
    <t>да
Twin Builder ROM на GPU + Nvidia Modulus; экспорт в Omniverse</t>
  </si>
  <si>
    <t>да
iTwin сцена в USD, Omniverse рендер и аналитика на GPU</t>
  </si>
  <si>
    <t>да
Nexus+Alix GPU-ускоренная гибридная аналитика; Omniverse коннектор</t>
  </si>
  <si>
    <t>да
SimSolid GPU solver; Omniverse connector (beta)</t>
  </si>
  <si>
    <t>да
Omniverse Cloud на Azure; GPU-гибридные twins</t>
  </si>
  <si>
    <t>да
Omniverse Cloud on AWS; GPU-ускоренные twins</t>
  </si>
  <si>
    <t>да
Omniverse RTX Cloud на GCP; hybrid analytics</t>
  </si>
  <si>
    <t>да
Ascend GPU ROM + Omniverse Bridge</t>
  </si>
  <si>
    <t>да
Elastic GPU; Omniverse RTX on Alibaba Cloud</t>
  </si>
  <si>
    <t>да
HCC GPU, Omniverse</t>
  </si>
  <si>
    <t>да
GPU farm ROM</t>
  </si>
  <si>
    <t>да
GPU ROM фабрик</t>
  </si>
  <si>
    <t>да
MIH GPU Sim</t>
  </si>
  <si>
    <t>да
Omniverse scenes</t>
  </si>
  <si>
    <t>да
GPU cloud twin</t>
  </si>
  <si>
    <t>да
GPU ROM + Hybrid AI</t>
  </si>
  <si>
    <t>да
GPU ROM пласта + AI</t>
  </si>
  <si>
    <t>да
GPU CFD + PINN</t>
  </si>
  <si>
    <t>да
GPU CAE + PINN hybrid</t>
  </si>
  <si>
    <t>да
Simcenter Hybrid AI: ROM + данные датчиков, авто‑калибровка twin</t>
  </si>
  <si>
    <t>да
3DEXPERIENCE Twin сочетает SIMULIA FEA и ML‑аналитику</t>
  </si>
  <si>
    <t>да
ThingWorx DPM: физика из Windchill + ML‑предиктив</t>
  </si>
  <si>
    <t>да
Twin Builder Hybrid ROM + PINN</t>
  </si>
  <si>
    <t>да
Predix Hybrid DT для турбин: physics + ML отклонения</t>
  </si>
  <si>
    <t>да
iTwin Analytical Sync: FEA + сенсорные потоки</t>
  </si>
  <si>
    <t>да
Nexus + Alix Hybrid Analytics</t>
  </si>
  <si>
    <t>да
Digital Twin Suite комбинирует SimSolid ROM и AI</t>
  </si>
  <si>
    <t>да
Akselos Structural DT: reduced FEA + сенсоры платформы</t>
  </si>
  <si>
    <t>да
Hybrid ROM + данные; Pangu PINN</t>
  </si>
  <si>
    <t>да
Hybrid AI ROM</t>
  </si>
  <si>
    <t>да
Hybrid GNN + data</t>
  </si>
  <si>
    <t>да
Hybrid data+physics driving sim</t>
  </si>
  <si>
    <t>да
Hybrid AI Genes</t>
  </si>
  <si>
    <t>да
Industrial Genes Hybrid</t>
  </si>
  <si>
    <t>да
Hybrid EV models</t>
  </si>
  <si>
    <t>да
PINN + AI</t>
  </si>
  <si>
    <t>да
ROM + AI коррекция</t>
  </si>
  <si>
    <t>да
Physics + ML коррекция</t>
  </si>
  <si>
    <t>да
PINN дозиметрия</t>
  </si>
  <si>
    <t>да
Smart DT PINN</t>
  </si>
  <si>
    <t>Разработчики: OEM/интеграторы;
Пользователи: заводы, инженеры; 
Сервисы: Xcelerator Marketplace, Mendix, Academy;
Правила: Siemens‑cert, rev‑share 85/15.</t>
  </si>
  <si>
    <t>Разработчики: VAR/SI;
Пользователи: OEM, R&amp;D;
Сервисы: 3DEX Marketplace, Cloud
Compute; Правила: Partner‑cert, IP за автором.</t>
  </si>
  <si>
    <t>Разработчики: ISV/SI;
Пользователи: сервис‑инженеры, фабрики; 
Сервисы: ThingWorx Marketplace, Kepware Hub; 
Правила: EULA, rev‑share 70/30.</t>
  </si>
  <si>
    <t>Рынок</t>
  </si>
  <si>
    <t>Платформенная экосистема</t>
  </si>
  <si>
    <t>Этапы создания технологии ЦД</t>
  </si>
  <si>
    <t>Общее понимание</t>
  </si>
  <si>
    <t>Новые тренды</t>
  </si>
  <si>
    <t>Siemens,
Xcelerator</t>
  </si>
  <si>
    <t>Dassault Systèmes,
3DEXPERIENCE Twin</t>
  </si>
  <si>
    <t>PTC,
ThingWorx + Windchill</t>
  </si>
  <si>
    <t>Ansys,
Twin Builder 2025 R1</t>
  </si>
  <si>
    <t>GE Vernova
Predix Digital Twin</t>
  </si>
  <si>
    <t>Bentley Systems,
iTwin Platform</t>
  </si>
  <si>
    <t>Другие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</si>
</sst>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8C-4B70-9A1F-ED4E4C2EEF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8C-4B70-9A1F-ED4E4C2EEF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8C-4B70-9A1F-ED4E4C2EEF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8C-4B70-9A1F-ED4E4C2EEF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8C-4B70-9A1F-ED4E4C2EEF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8C-4B70-9A1F-ED4E4C2EEF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68C-4B70-9A1F-ED4E4C2EEF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68C-4B70-9A1F-ED4E4C2EEF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8C-4B70-9A1F-ED4E4C2EEFE6}"/>
              </c:ext>
            </c:extLst>
          </c:dPt>
          <c:cat>
            <c:strRef>
              <c:f>'Sheet1 (2)'!$A$3:$A$11</c:f>
              <c:strCache>
                <c:ptCount val="9"/>
                <c:pt idx="0">
                  <c:v>Siemens,
Xcelerator</c:v>
                </c:pt>
                <c:pt idx="1">
                  <c:v>PTC,
ThingWorx + Windchill</c:v>
                </c:pt>
                <c:pt idx="2">
                  <c:v>Dassault Systèmes,
3DEXPERIENCE Twin</c:v>
                </c:pt>
                <c:pt idx="3">
                  <c:v>GE Vernova
Predix Digital Twin</c:v>
                </c:pt>
                <c:pt idx="4">
                  <c:v>Bentley Systems,
iTwin Platform</c:v>
                </c:pt>
                <c:pt idx="5">
                  <c:v>Ansys,
Twin Builder 2025 R1</c:v>
                </c:pt>
                <c:pt idx="6">
                  <c:v>Другие</c:v>
                </c:pt>
                <c:pt idx="7">
                  <c:v>Китай</c:v>
                </c:pt>
                <c:pt idx="8">
                  <c:v>Россия</c:v>
                </c:pt>
              </c:strCache>
            </c:strRef>
          </c:cat>
          <c:val>
            <c:numRef>
              <c:f>'Sheet1 (2)'!$B$3:$B$11</c:f>
              <c:numCache>
                <c:formatCode>General</c:formatCode>
                <c:ptCount val="9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50</c:v>
                </c:pt>
                <c:pt idx="7">
                  <c:v>16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7-44C9-867C-ECFFFE209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263246</xdr:colOff>
      <xdr:row>3</xdr:row>
      <xdr:rowOff>824345</xdr:rowOff>
    </xdr:from>
    <xdr:to>
      <xdr:col>26</xdr:col>
      <xdr:colOff>387927</xdr:colOff>
      <xdr:row>8</xdr:row>
      <xdr:rowOff>110836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646962A-215B-75F5-4B15-49852DCB9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zoomScale="85" zoomScaleNormal="85" workbookViewId="0">
      <pane xSplit="1" topLeftCell="H1" activePane="topRight" state="frozen"/>
      <selection pane="topRight" activeCell="T3" sqref="T3"/>
    </sheetView>
  </sheetViews>
  <sheetFormatPr defaultRowHeight="14.4" x14ac:dyDescent="0.3"/>
  <cols>
    <col min="1" max="1" width="18.5546875" customWidth="1"/>
    <col min="2" max="2" width="12.5546875" style="2" customWidth="1"/>
    <col min="3" max="3" width="19.44140625" style="2" customWidth="1"/>
    <col min="4" max="4" width="41.88671875" customWidth="1"/>
    <col min="5" max="5" width="21.44140625" customWidth="1"/>
    <col min="6" max="9" width="11.33203125" style="2" customWidth="1"/>
    <col min="10" max="10" width="12.109375" style="2" customWidth="1"/>
    <col min="11" max="11" width="12.88671875" style="2" customWidth="1"/>
    <col min="12" max="15" width="19.109375" style="2" customWidth="1"/>
    <col min="16" max="16" width="8.5546875" style="2" customWidth="1"/>
    <col min="17" max="17" width="17.21875" style="2" customWidth="1"/>
    <col min="18" max="18" width="18.77734375" style="2" customWidth="1"/>
    <col min="19" max="19" width="19.6640625" style="2" customWidth="1"/>
    <col min="20" max="20" width="19.5546875" style="2" customWidth="1"/>
    <col min="21" max="21" width="14.88671875" style="2" customWidth="1"/>
    <col min="22" max="22" width="31.5546875" style="4" customWidth="1"/>
  </cols>
  <sheetData>
    <row r="1" spans="1:22" s="1" customFormat="1" ht="33" customHeight="1" x14ac:dyDescent="0.3">
      <c r="A1" s="22" t="s">
        <v>329</v>
      </c>
      <c r="B1" s="22"/>
      <c r="C1" s="22"/>
      <c r="D1" s="22"/>
      <c r="E1" s="22"/>
      <c r="F1" s="22" t="s">
        <v>326</v>
      </c>
      <c r="G1" s="22"/>
      <c r="H1" s="22"/>
      <c r="I1" s="22"/>
      <c r="J1" s="22"/>
      <c r="K1" s="23" t="s">
        <v>245</v>
      </c>
      <c r="L1" s="22" t="s">
        <v>328</v>
      </c>
      <c r="M1" s="22"/>
      <c r="N1" s="22"/>
      <c r="O1" s="22"/>
      <c r="P1" s="22" t="s">
        <v>330</v>
      </c>
      <c r="Q1" s="22"/>
      <c r="R1" s="22"/>
      <c r="S1" s="22"/>
      <c r="T1" s="22"/>
      <c r="U1" s="22" t="s">
        <v>327</v>
      </c>
      <c r="V1" s="22"/>
    </row>
    <row r="2" spans="1:22" s="3" customFormat="1" ht="72" x14ac:dyDescent="0.3">
      <c r="A2" s="8" t="s">
        <v>1</v>
      </c>
      <c r="B2" s="8" t="s">
        <v>6</v>
      </c>
      <c r="C2" s="8" t="s">
        <v>0</v>
      </c>
      <c r="D2" s="8" t="s">
        <v>2</v>
      </c>
      <c r="E2" s="8" t="s">
        <v>244</v>
      </c>
      <c r="F2" s="8" t="s">
        <v>246</v>
      </c>
      <c r="G2" s="8" t="s">
        <v>4</v>
      </c>
      <c r="H2" s="8" t="s">
        <v>5</v>
      </c>
      <c r="I2" s="8" t="s">
        <v>247</v>
      </c>
      <c r="J2" s="8" t="s">
        <v>3</v>
      </c>
      <c r="K2" s="23"/>
      <c r="L2" s="8" t="s">
        <v>254</v>
      </c>
      <c r="M2" s="8" t="s">
        <v>7</v>
      </c>
      <c r="N2" s="8" t="s">
        <v>8</v>
      </c>
      <c r="O2" s="8" t="s">
        <v>255</v>
      </c>
      <c r="P2" s="8" t="s">
        <v>256</v>
      </c>
      <c r="Q2" s="8" t="s">
        <v>248</v>
      </c>
      <c r="R2" s="8" t="s">
        <v>249</v>
      </c>
      <c r="S2" s="8" t="s">
        <v>250</v>
      </c>
      <c r="T2" s="8" t="s">
        <v>251</v>
      </c>
      <c r="U2" s="8" t="s">
        <v>252</v>
      </c>
      <c r="V2" s="9" t="s">
        <v>253</v>
      </c>
    </row>
    <row r="3" spans="1:22" ht="144" customHeight="1" x14ac:dyDescent="0.3">
      <c r="A3" s="17" t="s">
        <v>13</v>
      </c>
      <c r="B3" s="10" t="s">
        <v>112</v>
      </c>
      <c r="C3" s="10" t="s">
        <v>9</v>
      </c>
      <c r="D3" s="11" t="s">
        <v>76</v>
      </c>
      <c r="E3" s="11" t="s">
        <v>42</v>
      </c>
      <c r="F3" s="10">
        <v>11</v>
      </c>
      <c r="G3" s="10">
        <v>2.69</v>
      </c>
      <c r="H3" s="10">
        <v>3.28</v>
      </c>
      <c r="I3" s="10">
        <v>82.2</v>
      </c>
      <c r="J3" s="11" t="s">
        <v>107</v>
      </c>
      <c r="K3" s="11" t="s">
        <v>71</v>
      </c>
      <c r="L3" s="11" t="s">
        <v>146</v>
      </c>
      <c r="M3" s="11" t="s">
        <v>166</v>
      </c>
      <c r="N3" s="11" t="s">
        <v>190</v>
      </c>
      <c r="O3" s="11" t="s">
        <v>218</v>
      </c>
      <c r="P3" s="10" t="s">
        <v>105</v>
      </c>
      <c r="Q3" s="11" t="s">
        <v>260</v>
      </c>
      <c r="R3" s="11" t="s">
        <v>259</v>
      </c>
      <c r="S3" s="11" t="s">
        <v>282</v>
      </c>
      <c r="T3" s="11" t="s">
        <v>302</v>
      </c>
      <c r="U3" s="10" t="s">
        <v>120</v>
      </c>
      <c r="V3" s="12" t="s">
        <v>323</v>
      </c>
    </row>
    <row r="4" spans="1:22" ht="121.8" customHeight="1" x14ac:dyDescent="0.3">
      <c r="A4" s="18" t="s">
        <v>14</v>
      </c>
      <c r="B4" s="5" t="s">
        <v>113</v>
      </c>
      <c r="C4" s="5" t="s">
        <v>9</v>
      </c>
      <c r="D4" s="6" t="s">
        <v>77</v>
      </c>
      <c r="E4" s="6" t="s">
        <v>43</v>
      </c>
      <c r="F4" s="5">
        <v>5</v>
      </c>
      <c r="G4" s="5">
        <v>1.22</v>
      </c>
      <c r="H4" s="5">
        <v>19.68</v>
      </c>
      <c r="I4" s="5">
        <v>6.2</v>
      </c>
      <c r="J4" s="6" t="s">
        <v>107</v>
      </c>
      <c r="K4" s="6" t="s">
        <v>71</v>
      </c>
      <c r="L4" s="6" t="s">
        <v>147</v>
      </c>
      <c r="M4" s="6" t="s">
        <v>167</v>
      </c>
      <c r="N4" s="6" t="s">
        <v>191</v>
      </c>
      <c r="O4" s="6" t="s">
        <v>219</v>
      </c>
      <c r="P4" s="5" t="s">
        <v>105</v>
      </c>
      <c r="Q4" s="6" t="s">
        <v>119</v>
      </c>
      <c r="R4" s="6" t="s">
        <v>257</v>
      </c>
      <c r="S4" s="6" t="s">
        <v>119</v>
      </c>
      <c r="T4" s="6" t="s">
        <v>303</v>
      </c>
      <c r="U4" s="5" t="s">
        <v>120</v>
      </c>
      <c r="V4" s="13" t="s">
        <v>324</v>
      </c>
    </row>
    <row r="5" spans="1:22" ht="136.19999999999999" customHeight="1" x14ac:dyDescent="0.3">
      <c r="A5" s="18" t="s">
        <v>15</v>
      </c>
      <c r="B5" s="5" t="s">
        <v>114</v>
      </c>
      <c r="C5" s="5" t="s">
        <v>9</v>
      </c>
      <c r="D5" s="6" t="s">
        <v>78</v>
      </c>
      <c r="E5" s="6" t="s">
        <v>44</v>
      </c>
      <c r="F5" s="5">
        <v>6</v>
      </c>
      <c r="G5" s="5">
        <v>1.47</v>
      </c>
      <c r="H5" s="5">
        <v>64</v>
      </c>
      <c r="I5" s="5">
        <v>2.2999999999999998</v>
      </c>
      <c r="J5" s="6" t="s">
        <v>107</v>
      </c>
      <c r="K5" s="6" t="s">
        <v>71</v>
      </c>
      <c r="L5" s="6" t="s">
        <v>148</v>
      </c>
      <c r="M5" s="6" t="s">
        <v>168</v>
      </c>
      <c r="N5" s="6" t="s">
        <v>192</v>
      </c>
      <c r="O5" s="6" t="s">
        <v>220</v>
      </c>
      <c r="P5" s="5" t="s">
        <v>105</v>
      </c>
      <c r="Q5" s="6" t="s">
        <v>119</v>
      </c>
      <c r="R5" s="6" t="s">
        <v>258</v>
      </c>
      <c r="S5" s="6" t="s">
        <v>119</v>
      </c>
      <c r="T5" s="6" t="s">
        <v>304</v>
      </c>
      <c r="U5" s="5" t="s">
        <v>120</v>
      </c>
      <c r="V5" s="13" t="s">
        <v>325</v>
      </c>
    </row>
    <row r="6" spans="1:22" ht="114.6" customHeight="1" x14ac:dyDescent="0.3">
      <c r="A6" s="18" t="s">
        <v>16</v>
      </c>
      <c r="B6" s="5" t="s">
        <v>114</v>
      </c>
      <c r="C6" s="5" t="s">
        <v>9</v>
      </c>
      <c r="D6" s="6" t="s">
        <v>79</v>
      </c>
      <c r="E6" s="6" t="s">
        <v>45</v>
      </c>
      <c r="F6" s="5">
        <v>2</v>
      </c>
      <c r="G6" s="5">
        <v>0.49</v>
      </c>
      <c r="H6" s="5">
        <v>24.5</v>
      </c>
      <c r="I6" s="5">
        <v>2</v>
      </c>
      <c r="J6" s="6" t="s">
        <v>108</v>
      </c>
      <c r="K6" s="6" t="s">
        <v>71</v>
      </c>
      <c r="L6" s="6" t="s">
        <v>149</v>
      </c>
      <c r="M6" s="6" t="s">
        <v>119</v>
      </c>
      <c r="N6" s="6" t="s">
        <v>193</v>
      </c>
      <c r="O6" s="6" t="s">
        <v>221</v>
      </c>
      <c r="P6" s="5" t="s">
        <v>105</v>
      </c>
      <c r="Q6" s="6" t="s">
        <v>119</v>
      </c>
      <c r="R6" s="6" t="s">
        <v>119</v>
      </c>
      <c r="S6" s="6" t="s">
        <v>283</v>
      </c>
      <c r="T6" s="6" t="s">
        <v>305</v>
      </c>
      <c r="U6" s="5" t="s">
        <v>120</v>
      </c>
      <c r="V6" s="13" t="s">
        <v>121</v>
      </c>
    </row>
    <row r="7" spans="1:22" ht="97.8" customHeight="1" x14ac:dyDescent="0.3">
      <c r="A7" s="18" t="s">
        <v>17</v>
      </c>
      <c r="B7" s="5" t="s">
        <v>114</v>
      </c>
      <c r="C7" s="5" t="s">
        <v>9</v>
      </c>
      <c r="D7" s="6" t="s">
        <v>80</v>
      </c>
      <c r="E7" s="6" t="s">
        <v>46</v>
      </c>
      <c r="F7" s="5">
        <v>4</v>
      </c>
      <c r="G7" s="5">
        <v>0.98</v>
      </c>
      <c r="H7" s="5">
        <v>2.8</v>
      </c>
      <c r="I7" s="5">
        <v>35</v>
      </c>
      <c r="J7" s="6" t="s">
        <v>109</v>
      </c>
      <c r="K7" s="6" t="s">
        <v>71</v>
      </c>
      <c r="L7" s="6" t="s">
        <v>119</v>
      </c>
      <c r="M7" s="6" t="s">
        <v>169</v>
      </c>
      <c r="N7" s="6" t="s">
        <v>194</v>
      </c>
      <c r="O7" s="6" t="s">
        <v>222</v>
      </c>
      <c r="P7" s="5" t="s">
        <v>105</v>
      </c>
      <c r="Q7" s="6" t="s">
        <v>119</v>
      </c>
      <c r="R7" s="6" t="s">
        <v>261</v>
      </c>
      <c r="S7" s="6" t="s">
        <v>119</v>
      </c>
      <c r="T7" s="6" t="s">
        <v>306</v>
      </c>
      <c r="U7" s="5" t="s">
        <v>120</v>
      </c>
      <c r="V7" s="13" t="s">
        <v>122</v>
      </c>
    </row>
    <row r="8" spans="1:22" ht="107.4" customHeight="1" x14ac:dyDescent="0.3">
      <c r="A8" s="18" t="s">
        <v>18</v>
      </c>
      <c r="B8" s="5" t="s">
        <v>114</v>
      </c>
      <c r="C8" s="5" t="s">
        <v>9</v>
      </c>
      <c r="D8" s="6" t="s">
        <v>81</v>
      </c>
      <c r="E8" s="6" t="s">
        <v>47</v>
      </c>
      <c r="F8" s="5">
        <v>3</v>
      </c>
      <c r="G8" s="5">
        <v>0.73</v>
      </c>
      <c r="H8" s="5">
        <v>52.1</v>
      </c>
      <c r="I8" s="5">
        <v>1.4</v>
      </c>
      <c r="J8" s="6" t="s">
        <v>108</v>
      </c>
      <c r="K8" s="6" t="s">
        <v>72</v>
      </c>
      <c r="L8" s="6" t="s">
        <v>150</v>
      </c>
      <c r="M8" s="6" t="s">
        <v>170</v>
      </c>
      <c r="N8" s="6" t="s">
        <v>195</v>
      </c>
      <c r="O8" s="6" t="s">
        <v>223</v>
      </c>
      <c r="P8" s="5" t="s">
        <v>105</v>
      </c>
      <c r="Q8" s="6" t="s">
        <v>119</v>
      </c>
      <c r="R8" s="6" t="s">
        <v>262</v>
      </c>
      <c r="S8" s="6" t="s">
        <v>284</v>
      </c>
      <c r="T8" s="6" t="s">
        <v>307</v>
      </c>
      <c r="U8" s="5" t="s">
        <v>120</v>
      </c>
      <c r="V8" s="13" t="s">
        <v>123</v>
      </c>
    </row>
    <row r="9" spans="1:22" ht="123" customHeight="1" x14ac:dyDescent="0.3">
      <c r="A9" s="18" t="s">
        <v>19</v>
      </c>
      <c r="B9" s="5" t="s">
        <v>115</v>
      </c>
      <c r="C9" s="5" t="s">
        <v>9</v>
      </c>
      <c r="D9" s="6" t="s">
        <v>82</v>
      </c>
      <c r="E9" s="6" t="s">
        <v>48</v>
      </c>
      <c r="F9" s="5">
        <v>3</v>
      </c>
      <c r="G9" s="5">
        <v>0.73</v>
      </c>
      <c r="H9" s="5">
        <v>13.5</v>
      </c>
      <c r="I9" s="5">
        <v>5.4</v>
      </c>
      <c r="J9" s="6" t="s">
        <v>110</v>
      </c>
      <c r="K9" s="6" t="s">
        <v>73</v>
      </c>
      <c r="L9" s="6" t="s">
        <v>151</v>
      </c>
      <c r="M9" s="6" t="s">
        <v>171</v>
      </c>
      <c r="N9" s="6" t="s">
        <v>196</v>
      </c>
      <c r="O9" s="6" t="s">
        <v>224</v>
      </c>
      <c r="P9" s="5" t="s">
        <v>105</v>
      </c>
      <c r="Q9" s="6" t="s">
        <v>263</v>
      </c>
      <c r="R9" s="6" t="s">
        <v>264</v>
      </c>
      <c r="S9" s="6" t="s">
        <v>285</v>
      </c>
      <c r="T9" s="6" t="s">
        <v>308</v>
      </c>
      <c r="U9" s="5" t="s">
        <v>120</v>
      </c>
      <c r="V9" s="13" t="s">
        <v>124</v>
      </c>
    </row>
    <row r="10" spans="1:22" ht="83.4" customHeight="1" x14ac:dyDescent="0.3">
      <c r="A10" s="18" t="s">
        <v>20</v>
      </c>
      <c r="B10" s="5" t="s">
        <v>114</v>
      </c>
      <c r="C10" s="5" t="s">
        <v>9</v>
      </c>
      <c r="D10" s="6" t="s">
        <v>83</v>
      </c>
      <c r="E10" s="6" t="s">
        <v>49</v>
      </c>
      <c r="F10" s="5">
        <v>1</v>
      </c>
      <c r="G10" s="5">
        <v>0.24</v>
      </c>
      <c r="H10" s="5">
        <v>40</v>
      </c>
      <c r="I10" s="5">
        <v>0.6</v>
      </c>
      <c r="J10" s="6" t="s">
        <v>108</v>
      </c>
      <c r="K10" s="6" t="s">
        <v>73</v>
      </c>
      <c r="L10" s="6" t="s">
        <v>152</v>
      </c>
      <c r="M10" s="6" t="s">
        <v>172</v>
      </c>
      <c r="N10" s="6" t="s">
        <v>197</v>
      </c>
      <c r="O10" s="6" t="s">
        <v>225</v>
      </c>
      <c r="P10" s="5" t="s">
        <v>105</v>
      </c>
      <c r="Q10" s="6" t="s">
        <v>119</v>
      </c>
      <c r="R10" s="6" t="s">
        <v>119</v>
      </c>
      <c r="S10" s="6" t="s">
        <v>286</v>
      </c>
      <c r="T10" s="6" t="s">
        <v>309</v>
      </c>
      <c r="U10" s="5" t="s">
        <v>120</v>
      </c>
      <c r="V10" s="13" t="s">
        <v>125</v>
      </c>
    </row>
    <row r="11" spans="1:22" ht="123" customHeight="1" x14ac:dyDescent="0.3">
      <c r="A11" s="18" t="s">
        <v>21</v>
      </c>
      <c r="B11" s="5" t="s">
        <v>114</v>
      </c>
      <c r="C11" s="5" t="s">
        <v>10</v>
      </c>
      <c r="D11" s="6" t="s">
        <v>84</v>
      </c>
      <c r="E11" s="6" t="s">
        <v>50</v>
      </c>
      <c r="F11" s="5">
        <v>9</v>
      </c>
      <c r="G11" s="5">
        <v>2.2000000000000002</v>
      </c>
      <c r="H11" s="5">
        <v>0.93</v>
      </c>
      <c r="I11" s="5">
        <v>236</v>
      </c>
      <c r="J11" s="6" t="s">
        <v>107</v>
      </c>
      <c r="K11" s="6" t="s">
        <v>72</v>
      </c>
      <c r="L11" s="6" t="s">
        <v>119</v>
      </c>
      <c r="M11" s="6" t="s">
        <v>173</v>
      </c>
      <c r="N11" s="6" t="s">
        <v>198</v>
      </c>
      <c r="O11" s="6" t="s">
        <v>119</v>
      </c>
      <c r="P11" s="5" t="s">
        <v>105</v>
      </c>
      <c r="Q11" s="6" t="s">
        <v>265</v>
      </c>
      <c r="R11" s="6" t="s">
        <v>266</v>
      </c>
      <c r="S11" s="6" t="s">
        <v>287</v>
      </c>
      <c r="T11" s="6" t="s">
        <v>119</v>
      </c>
      <c r="U11" s="5" t="s">
        <v>120</v>
      </c>
      <c r="V11" s="13" t="s">
        <v>126</v>
      </c>
    </row>
    <row r="12" spans="1:22" ht="78" customHeight="1" x14ac:dyDescent="0.3">
      <c r="A12" s="18" t="s">
        <v>22</v>
      </c>
      <c r="B12" s="5" t="s">
        <v>114</v>
      </c>
      <c r="C12" s="5" t="s">
        <v>10</v>
      </c>
      <c r="D12" s="6" t="s">
        <v>85</v>
      </c>
      <c r="E12" s="6" t="s">
        <v>51</v>
      </c>
      <c r="F12" s="5">
        <v>7</v>
      </c>
      <c r="G12" s="5">
        <v>1.71</v>
      </c>
      <c r="H12" s="5">
        <v>1.71</v>
      </c>
      <c r="I12" s="5">
        <v>100</v>
      </c>
      <c r="J12" s="6" t="s">
        <v>107</v>
      </c>
      <c r="K12" s="6" t="s">
        <v>72</v>
      </c>
      <c r="L12" s="6" t="s">
        <v>119</v>
      </c>
      <c r="M12" s="6" t="s">
        <v>174</v>
      </c>
      <c r="N12" s="6" t="s">
        <v>199</v>
      </c>
      <c r="O12" s="6" t="s">
        <v>226</v>
      </c>
      <c r="P12" s="5" t="s">
        <v>105</v>
      </c>
      <c r="Q12" s="6" t="s">
        <v>119</v>
      </c>
      <c r="R12" s="6" t="s">
        <v>267</v>
      </c>
      <c r="S12" s="6" t="s">
        <v>288</v>
      </c>
      <c r="T12" s="6" t="s">
        <v>119</v>
      </c>
      <c r="U12" s="5" t="s">
        <v>120</v>
      </c>
      <c r="V12" s="13" t="s">
        <v>127</v>
      </c>
    </row>
    <row r="13" spans="1:22" ht="94.8" customHeight="1" x14ac:dyDescent="0.3">
      <c r="A13" s="18" t="s">
        <v>23</v>
      </c>
      <c r="B13" s="5" t="s">
        <v>114</v>
      </c>
      <c r="C13" s="5" t="s">
        <v>10</v>
      </c>
      <c r="D13" s="6" t="s">
        <v>86</v>
      </c>
      <c r="E13" s="6" t="s">
        <v>52</v>
      </c>
      <c r="F13" s="5">
        <v>2</v>
      </c>
      <c r="G13" s="5">
        <v>0.49</v>
      </c>
      <c r="H13" s="5">
        <v>1.32</v>
      </c>
      <c r="I13" s="5">
        <v>37</v>
      </c>
      <c r="J13" s="6" t="s">
        <v>109</v>
      </c>
      <c r="K13" s="6" t="s">
        <v>74</v>
      </c>
      <c r="L13" s="6" t="s">
        <v>119</v>
      </c>
      <c r="M13" s="6" t="s">
        <v>175</v>
      </c>
      <c r="N13" s="6" t="s">
        <v>200</v>
      </c>
      <c r="O13" s="6" t="s">
        <v>227</v>
      </c>
      <c r="P13" s="5" t="s">
        <v>105</v>
      </c>
      <c r="Q13" s="6" t="s">
        <v>119</v>
      </c>
      <c r="R13" s="6" t="s">
        <v>268</v>
      </c>
      <c r="S13" s="6" t="s">
        <v>289</v>
      </c>
      <c r="T13" s="6" t="s">
        <v>119</v>
      </c>
      <c r="U13" s="5" t="s">
        <v>120</v>
      </c>
      <c r="V13" s="13" t="s">
        <v>128</v>
      </c>
    </row>
    <row r="14" spans="1:22" ht="72" x14ac:dyDescent="0.3">
      <c r="A14" s="18" t="s">
        <v>24</v>
      </c>
      <c r="B14" s="5" t="s">
        <v>112</v>
      </c>
      <c r="C14" s="5" t="s">
        <v>10</v>
      </c>
      <c r="D14" s="6" t="s">
        <v>87</v>
      </c>
      <c r="E14" s="6" t="s">
        <v>53</v>
      </c>
      <c r="F14" s="5">
        <v>2</v>
      </c>
      <c r="G14" s="5">
        <v>0.49</v>
      </c>
      <c r="H14" s="5">
        <v>1.44</v>
      </c>
      <c r="I14" s="5">
        <v>34.1</v>
      </c>
      <c r="J14" s="6" t="s">
        <v>109</v>
      </c>
      <c r="K14" s="6" t="s">
        <v>74</v>
      </c>
      <c r="L14" s="6" t="s">
        <v>119</v>
      </c>
      <c r="M14" s="6" t="s">
        <v>176</v>
      </c>
      <c r="N14" s="6" t="s">
        <v>201</v>
      </c>
      <c r="O14" s="6" t="s">
        <v>228</v>
      </c>
      <c r="P14" s="5" t="s">
        <v>105</v>
      </c>
      <c r="Q14" s="6" t="s">
        <v>119</v>
      </c>
      <c r="R14" s="6" t="s">
        <v>269</v>
      </c>
      <c r="S14" s="6" t="s">
        <v>119</v>
      </c>
      <c r="T14" s="6" t="s">
        <v>119</v>
      </c>
      <c r="U14" s="5" t="s">
        <v>120</v>
      </c>
      <c r="V14" s="13" t="s">
        <v>129</v>
      </c>
    </row>
    <row r="15" spans="1:22" ht="72" x14ac:dyDescent="0.3">
      <c r="A15" s="18" t="s">
        <v>25</v>
      </c>
      <c r="B15" s="5" t="s">
        <v>116</v>
      </c>
      <c r="C15" s="5" t="s">
        <v>11</v>
      </c>
      <c r="D15" s="6" t="s">
        <v>88</v>
      </c>
      <c r="E15" s="6" t="s">
        <v>54</v>
      </c>
      <c r="F15" s="5">
        <v>0.2</v>
      </c>
      <c r="G15" s="5">
        <v>0.05</v>
      </c>
      <c r="H15" s="5">
        <v>100</v>
      </c>
      <c r="I15" s="5">
        <v>0.05</v>
      </c>
      <c r="J15" s="6" t="s">
        <v>111</v>
      </c>
      <c r="K15" s="6" t="s">
        <v>73</v>
      </c>
      <c r="L15" s="6" t="s">
        <v>153</v>
      </c>
      <c r="M15" s="6" t="s">
        <v>119</v>
      </c>
      <c r="N15" s="6" t="s">
        <v>202</v>
      </c>
      <c r="O15" s="6" t="s">
        <v>229</v>
      </c>
      <c r="P15" s="5" t="s">
        <v>105</v>
      </c>
      <c r="Q15" s="6" t="s">
        <v>119</v>
      </c>
      <c r="R15" s="6" t="s">
        <v>119</v>
      </c>
      <c r="S15" s="6" t="s">
        <v>119</v>
      </c>
      <c r="T15" s="6" t="s">
        <v>310</v>
      </c>
      <c r="U15" s="5" t="s">
        <v>120</v>
      </c>
      <c r="V15" s="13" t="s">
        <v>130</v>
      </c>
    </row>
    <row r="16" spans="1:22" ht="28.8" x14ac:dyDescent="0.3">
      <c r="A16" s="18" t="s">
        <v>26</v>
      </c>
      <c r="B16" s="5" t="s">
        <v>114</v>
      </c>
      <c r="C16" s="5" t="s">
        <v>11</v>
      </c>
      <c r="D16" s="6" t="s">
        <v>89</v>
      </c>
      <c r="E16" s="6" t="s">
        <v>55</v>
      </c>
      <c r="F16" s="5">
        <v>0.1</v>
      </c>
      <c r="G16" s="5">
        <v>0.02</v>
      </c>
      <c r="H16" s="5">
        <v>0.67</v>
      </c>
      <c r="I16" s="5">
        <v>0.03</v>
      </c>
      <c r="J16" s="6" t="s">
        <v>111</v>
      </c>
      <c r="K16" s="6" t="s">
        <v>74</v>
      </c>
      <c r="L16" s="6" t="s">
        <v>119</v>
      </c>
      <c r="M16" s="6" t="s">
        <v>177</v>
      </c>
      <c r="N16" s="6" t="s">
        <v>203</v>
      </c>
      <c r="O16" s="6" t="s">
        <v>230</v>
      </c>
      <c r="P16" s="5" t="s">
        <v>105</v>
      </c>
      <c r="Q16" s="6" t="s">
        <v>119</v>
      </c>
      <c r="R16" s="6" t="s">
        <v>119</v>
      </c>
      <c r="S16" s="6" t="s">
        <v>119</v>
      </c>
      <c r="T16" s="6" t="s">
        <v>119</v>
      </c>
      <c r="U16" s="5" t="s">
        <v>119</v>
      </c>
      <c r="V16" s="13" t="s">
        <v>131</v>
      </c>
    </row>
    <row r="17" spans="1:22" ht="72" x14ac:dyDescent="0.3">
      <c r="A17" s="18" t="s">
        <v>27</v>
      </c>
      <c r="B17" s="5" t="s">
        <v>114</v>
      </c>
      <c r="C17" s="5" t="s">
        <v>11</v>
      </c>
      <c r="D17" s="6" t="s">
        <v>90</v>
      </c>
      <c r="E17" s="6" t="s">
        <v>56</v>
      </c>
      <c r="F17" s="5">
        <v>0.1</v>
      </c>
      <c r="G17" s="5">
        <v>0.02</v>
      </c>
      <c r="H17" s="5">
        <v>1</v>
      </c>
      <c r="I17" s="5">
        <v>0.02</v>
      </c>
      <c r="J17" s="6" t="s">
        <v>111</v>
      </c>
      <c r="K17" s="6" t="s">
        <v>75</v>
      </c>
      <c r="L17" s="6" t="s">
        <v>119</v>
      </c>
      <c r="M17" s="6" t="s">
        <v>178</v>
      </c>
      <c r="N17" s="6" t="s">
        <v>204</v>
      </c>
      <c r="O17" s="6" t="s">
        <v>231</v>
      </c>
      <c r="P17" s="5" t="s">
        <v>105</v>
      </c>
      <c r="Q17" s="6" t="s">
        <v>119</v>
      </c>
      <c r="R17" s="6" t="s">
        <v>270</v>
      </c>
      <c r="S17" s="6" t="s">
        <v>119</v>
      </c>
      <c r="T17" s="6" t="s">
        <v>119</v>
      </c>
      <c r="U17" s="5" t="s">
        <v>119</v>
      </c>
      <c r="V17" s="13" t="s">
        <v>131</v>
      </c>
    </row>
    <row r="18" spans="1:22" ht="92.4" customHeight="1" x14ac:dyDescent="0.3">
      <c r="A18" s="18" t="s">
        <v>28</v>
      </c>
      <c r="B18" s="5" t="s">
        <v>117</v>
      </c>
      <c r="C18" s="5" t="s">
        <v>10</v>
      </c>
      <c r="D18" s="6" t="s">
        <v>91</v>
      </c>
      <c r="E18" s="6" t="s">
        <v>57</v>
      </c>
      <c r="F18" s="5">
        <v>3</v>
      </c>
      <c r="G18" s="5">
        <v>0.73</v>
      </c>
      <c r="H18" s="5">
        <v>0.74</v>
      </c>
      <c r="I18" s="5">
        <v>99</v>
      </c>
      <c r="J18" s="6" t="s">
        <v>111</v>
      </c>
      <c r="K18" s="6" t="s">
        <v>72</v>
      </c>
      <c r="L18" s="6" t="s">
        <v>154</v>
      </c>
      <c r="M18" s="6" t="s">
        <v>179</v>
      </c>
      <c r="N18" s="6" t="s">
        <v>205</v>
      </c>
      <c r="O18" s="6" t="s">
        <v>232</v>
      </c>
      <c r="P18" s="5" t="s">
        <v>105</v>
      </c>
      <c r="Q18" s="6" t="s">
        <v>271</v>
      </c>
      <c r="R18" s="6" t="s">
        <v>272</v>
      </c>
      <c r="S18" s="6" t="s">
        <v>290</v>
      </c>
      <c r="T18" s="6" t="s">
        <v>311</v>
      </c>
      <c r="U18" s="5" t="s">
        <v>120</v>
      </c>
      <c r="V18" s="13" t="s">
        <v>132</v>
      </c>
    </row>
    <row r="19" spans="1:22" ht="72" x14ac:dyDescent="0.3">
      <c r="A19" s="18" t="s">
        <v>29</v>
      </c>
      <c r="B19" s="5" t="s">
        <v>117</v>
      </c>
      <c r="C19" s="5" t="s">
        <v>10</v>
      </c>
      <c r="D19" s="6" t="s">
        <v>92</v>
      </c>
      <c r="E19" s="6" t="s">
        <v>58</v>
      </c>
      <c r="F19" s="5">
        <v>2.5</v>
      </c>
      <c r="G19" s="5">
        <v>0.61</v>
      </c>
      <c r="H19" s="5">
        <v>0.45700000000000002</v>
      </c>
      <c r="I19" s="5">
        <v>134</v>
      </c>
      <c r="J19" s="6" t="s">
        <v>111</v>
      </c>
      <c r="K19" s="6" t="s">
        <v>72</v>
      </c>
      <c r="L19" s="6" t="s">
        <v>155</v>
      </c>
      <c r="M19" s="6" t="s">
        <v>180</v>
      </c>
      <c r="N19" s="6" t="s">
        <v>206</v>
      </c>
      <c r="O19" s="6" t="s">
        <v>233</v>
      </c>
      <c r="P19" s="5" t="s">
        <v>105</v>
      </c>
      <c r="Q19" s="6" t="s">
        <v>119</v>
      </c>
      <c r="R19" s="6" t="s">
        <v>273</v>
      </c>
      <c r="S19" s="6" t="s">
        <v>291</v>
      </c>
      <c r="T19" s="6" t="s">
        <v>312</v>
      </c>
      <c r="U19" s="5" t="s">
        <v>120</v>
      </c>
      <c r="V19" s="13" t="s">
        <v>133</v>
      </c>
    </row>
    <row r="20" spans="1:22" ht="67.2" customHeight="1" x14ac:dyDescent="0.3">
      <c r="A20" s="18" t="s">
        <v>30</v>
      </c>
      <c r="B20" s="5" t="s">
        <v>117</v>
      </c>
      <c r="C20" s="5" t="s">
        <v>10</v>
      </c>
      <c r="D20" s="6" t="s">
        <v>93</v>
      </c>
      <c r="E20" s="6" t="s">
        <v>59</v>
      </c>
      <c r="F20" s="5">
        <v>2</v>
      </c>
      <c r="G20" s="5">
        <v>0.49</v>
      </c>
      <c r="H20" s="5">
        <v>0.55600000000000005</v>
      </c>
      <c r="I20" s="5">
        <v>88</v>
      </c>
      <c r="J20" s="6" t="s">
        <v>111</v>
      </c>
      <c r="K20" s="6" t="s">
        <v>72</v>
      </c>
      <c r="L20" s="6" t="s">
        <v>156</v>
      </c>
      <c r="M20" s="6" t="s">
        <v>181</v>
      </c>
      <c r="N20" s="6" t="s">
        <v>207</v>
      </c>
      <c r="O20" s="6" t="s">
        <v>234</v>
      </c>
      <c r="P20" s="5" t="s">
        <v>105</v>
      </c>
      <c r="Q20" s="6" t="s">
        <v>119</v>
      </c>
      <c r="R20" s="6" t="s">
        <v>274</v>
      </c>
      <c r="S20" s="6" t="s">
        <v>292</v>
      </c>
      <c r="T20" s="6" t="s">
        <v>313</v>
      </c>
      <c r="U20" s="5" t="s">
        <v>120</v>
      </c>
      <c r="V20" s="13" t="s">
        <v>134</v>
      </c>
    </row>
    <row r="21" spans="1:22" ht="57.6" x14ac:dyDescent="0.3">
      <c r="A21" s="18" t="s">
        <v>31</v>
      </c>
      <c r="B21" s="5" t="s">
        <v>117</v>
      </c>
      <c r="C21" s="5" t="s">
        <v>10</v>
      </c>
      <c r="D21" s="6" t="s">
        <v>94</v>
      </c>
      <c r="E21" s="6" t="s">
        <v>60</v>
      </c>
      <c r="F21" s="5">
        <v>0.6</v>
      </c>
      <c r="G21" s="5">
        <v>0.15</v>
      </c>
      <c r="H21" s="5">
        <v>0.77300000000000002</v>
      </c>
      <c r="I21" s="5">
        <v>19</v>
      </c>
      <c r="J21" s="6" t="s">
        <v>111</v>
      </c>
      <c r="K21" s="6" t="s">
        <v>73</v>
      </c>
      <c r="L21" s="6" t="s">
        <v>157</v>
      </c>
      <c r="M21" s="6" t="s">
        <v>119</v>
      </c>
      <c r="N21" s="6" t="s">
        <v>208</v>
      </c>
      <c r="O21" s="6" t="s">
        <v>235</v>
      </c>
      <c r="P21" s="5" t="s">
        <v>105</v>
      </c>
      <c r="Q21" s="6" t="s">
        <v>119</v>
      </c>
      <c r="R21" s="6" t="s">
        <v>275</v>
      </c>
      <c r="S21" s="6" t="s">
        <v>293</v>
      </c>
      <c r="T21" s="6" t="s">
        <v>314</v>
      </c>
      <c r="U21" s="5" t="s">
        <v>120</v>
      </c>
      <c r="V21" s="13" t="s">
        <v>135</v>
      </c>
    </row>
    <row r="22" spans="1:22" ht="57.6" x14ac:dyDescent="0.3">
      <c r="A22" s="18" t="s">
        <v>32</v>
      </c>
      <c r="B22" s="5" t="s">
        <v>117</v>
      </c>
      <c r="C22" s="5" t="s">
        <v>9</v>
      </c>
      <c r="D22" s="6" t="s">
        <v>95</v>
      </c>
      <c r="E22" s="6" t="s">
        <v>61</v>
      </c>
      <c r="F22" s="5">
        <v>1</v>
      </c>
      <c r="G22" s="5">
        <v>0.24</v>
      </c>
      <c r="H22" s="5">
        <v>0.66200000000000003</v>
      </c>
      <c r="I22" s="5">
        <v>37</v>
      </c>
      <c r="J22" s="6" t="s">
        <v>111</v>
      </c>
      <c r="K22" s="6" t="s">
        <v>71</v>
      </c>
      <c r="L22" s="6" t="s">
        <v>158</v>
      </c>
      <c r="M22" s="6" t="s">
        <v>182</v>
      </c>
      <c r="N22" s="6" t="s">
        <v>209</v>
      </c>
      <c r="O22" s="6" t="s">
        <v>236</v>
      </c>
      <c r="P22" s="5" t="s">
        <v>105</v>
      </c>
      <c r="Q22" s="6" t="s">
        <v>119</v>
      </c>
      <c r="R22" s="6" t="s">
        <v>276</v>
      </c>
      <c r="S22" s="6" t="s">
        <v>294</v>
      </c>
      <c r="T22" s="6" t="s">
        <v>315</v>
      </c>
      <c r="U22" s="5" t="s">
        <v>120</v>
      </c>
      <c r="V22" s="13" t="s">
        <v>136</v>
      </c>
    </row>
    <row r="23" spans="1:22" ht="57.6" x14ac:dyDescent="0.3">
      <c r="A23" s="18" t="s">
        <v>33</v>
      </c>
      <c r="B23" s="5" t="s">
        <v>117</v>
      </c>
      <c r="C23" s="5" t="s">
        <v>9</v>
      </c>
      <c r="D23" s="6" t="s">
        <v>96</v>
      </c>
      <c r="E23" s="6" t="s">
        <v>62</v>
      </c>
      <c r="F23" s="5">
        <v>0.8</v>
      </c>
      <c r="G23" s="5">
        <v>0.2</v>
      </c>
      <c r="H23" s="5">
        <v>130.56</v>
      </c>
      <c r="I23" s="5">
        <v>0.15</v>
      </c>
      <c r="J23" s="6" t="s">
        <v>111</v>
      </c>
      <c r="K23" s="6" t="s">
        <v>71</v>
      </c>
      <c r="L23" s="6" t="s">
        <v>119</v>
      </c>
      <c r="M23" s="6" t="s">
        <v>183</v>
      </c>
      <c r="N23" s="6" t="s">
        <v>210</v>
      </c>
      <c r="O23" s="6" t="s">
        <v>237</v>
      </c>
      <c r="P23" s="5" t="s">
        <v>105</v>
      </c>
      <c r="Q23" s="6" t="s">
        <v>119</v>
      </c>
      <c r="R23" s="6" t="s">
        <v>277</v>
      </c>
      <c r="S23" s="6" t="s">
        <v>119</v>
      </c>
      <c r="T23" s="6" t="s">
        <v>316</v>
      </c>
      <c r="U23" s="5" t="s">
        <v>120</v>
      </c>
      <c r="V23" s="13" t="s">
        <v>137</v>
      </c>
    </row>
    <row r="24" spans="1:22" ht="57.6" x14ac:dyDescent="0.3">
      <c r="A24" s="18" t="s">
        <v>34</v>
      </c>
      <c r="B24" s="5" t="s">
        <v>117</v>
      </c>
      <c r="C24" s="5" t="s">
        <v>9</v>
      </c>
      <c r="D24" s="6" t="s">
        <v>97</v>
      </c>
      <c r="E24" s="6" t="s">
        <v>63</v>
      </c>
      <c r="F24" s="5">
        <v>0.7</v>
      </c>
      <c r="G24" s="5">
        <v>0.17</v>
      </c>
      <c r="H24" s="5">
        <v>8.0100000000000005E-2</v>
      </c>
      <c r="I24" s="5">
        <v>214</v>
      </c>
      <c r="J24" s="6" t="s">
        <v>111</v>
      </c>
      <c r="K24" s="6" t="s">
        <v>73</v>
      </c>
      <c r="L24" s="6" t="s">
        <v>159</v>
      </c>
      <c r="M24" s="6" t="s">
        <v>184</v>
      </c>
      <c r="N24" s="6" t="s">
        <v>211</v>
      </c>
      <c r="O24" s="6" t="s">
        <v>238</v>
      </c>
      <c r="P24" s="5" t="s">
        <v>105</v>
      </c>
      <c r="Q24" s="6" t="s">
        <v>119</v>
      </c>
      <c r="R24" s="6" t="s">
        <v>119</v>
      </c>
      <c r="S24" s="6" t="s">
        <v>295</v>
      </c>
      <c r="T24" s="6" t="s">
        <v>317</v>
      </c>
      <c r="U24" s="5" t="s">
        <v>120</v>
      </c>
      <c r="V24" s="13" t="s">
        <v>138</v>
      </c>
    </row>
    <row r="25" spans="1:22" ht="57.6" x14ac:dyDescent="0.3">
      <c r="A25" s="18" t="s">
        <v>35</v>
      </c>
      <c r="B25" s="5" t="s">
        <v>117</v>
      </c>
      <c r="C25" s="5" t="s">
        <v>11</v>
      </c>
      <c r="D25" s="6" t="s">
        <v>98</v>
      </c>
      <c r="E25" s="6" t="s">
        <v>64</v>
      </c>
      <c r="F25" s="5">
        <v>0.3</v>
      </c>
      <c r="G25" s="5">
        <v>7.0000000000000007E-2</v>
      </c>
      <c r="H25" s="5">
        <v>91.8</v>
      </c>
      <c r="I25" s="5">
        <v>0.08</v>
      </c>
      <c r="J25" s="6" t="s">
        <v>111</v>
      </c>
      <c r="K25" s="6" t="s">
        <v>72</v>
      </c>
      <c r="L25" s="6" t="s">
        <v>160</v>
      </c>
      <c r="M25" s="6" t="s">
        <v>185</v>
      </c>
      <c r="N25" s="6" t="s">
        <v>212</v>
      </c>
      <c r="O25" s="6" t="s">
        <v>119</v>
      </c>
      <c r="P25" s="5" t="s">
        <v>105</v>
      </c>
      <c r="Q25" s="6" t="s">
        <v>119</v>
      </c>
      <c r="R25" s="6" t="s">
        <v>278</v>
      </c>
      <c r="S25" s="6" t="s">
        <v>296</v>
      </c>
      <c r="T25" s="6" t="s">
        <v>119</v>
      </c>
      <c r="U25" s="5" t="s">
        <v>120</v>
      </c>
      <c r="V25" s="13" t="s">
        <v>139</v>
      </c>
    </row>
    <row r="26" spans="1:22" ht="57.6" x14ac:dyDescent="0.3">
      <c r="A26" s="18" t="s">
        <v>36</v>
      </c>
      <c r="B26" s="5" t="s">
        <v>117</v>
      </c>
      <c r="C26" s="5" t="s">
        <v>11</v>
      </c>
      <c r="D26" s="6" t="s">
        <v>99</v>
      </c>
      <c r="E26" s="6" t="s">
        <v>65</v>
      </c>
      <c r="F26" s="5">
        <v>0.3</v>
      </c>
      <c r="G26" s="5">
        <v>7.0000000000000007E-2</v>
      </c>
      <c r="H26" s="5">
        <v>5.88</v>
      </c>
      <c r="I26" s="5">
        <v>1.25</v>
      </c>
      <c r="J26" s="6" t="s">
        <v>111</v>
      </c>
      <c r="K26" s="6" t="s">
        <v>72</v>
      </c>
      <c r="L26" s="6" t="s">
        <v>119</v>
      </c>
      <c r="M26" s="6" t="s">
        <v>186</v>
      </c>
      <c r="N26" s="6" t="s">
        <v>213</v>
      </c>
      <c r="O26" s="6" t="s">
        <v>239</v>
      </c>
      <c r="P26" s="5" t="s">
        <v>105</v>
      </c>
      <c r="Q26" s="6" t="s">
        <v>119</v>
      </c>
      <c r="R26" s="6" t="s">
        <v>119</v>
      </c>
      <c r="S26" s="6" t="s">
        <v>297</v>
      </c>
      <c r="T26" s="6" t="s">
        <v>318</v>
      </c>
      <c r="U26" s="5" t="s">
        <v>120</v>
      </c>
      <c r="V26" s="13" t="s">
        <v>140</v>
      </c>
    </row>
    <row r="27" spans="1:22" ht="57.6" x14ac:dyDescent="0.3">
      <c r="A27" s="18" t="s">
        <v>37</v>
      </c>
      <c r="B27" s="5" t="s">
        <v>118</v>
      </c>
      <c r="C27" s="5" t="s">
        <v>9</v>
      </c>
      <c r="D27" s="6" t="s">
        <v>100</v>
      </c>
      <c r="E27" s="6" t="s">
        <v>66</v>
      </c>
      <c r="F27" s="5">
        <v>0.5</v>
      </c>
      <c r="G27" s="5">
        <v>0.12</v>
      </c>
      <c r="H27" s="5">
        <v>50</v>
      </c>
      <c r="I27" s="5">
        <v>0.12</v>
      </c>
      <c r="J27" s="6" t="s">
        <v>111</v>
      </c>
      <c r="K27" s="6" t="s">
        <v>71</v>
      </c>
      <c r="L27" s="6" t="s">
        <v>161</v>
      </c>
      <c r="M27" s="6" t="s">
        <v>187</v>
      </c>
      <c r="N27" s="6" t="s">
        <v>214</v>
      </c>
      <c r="O27" s="6" t="s">
        <v>240</v>
      </c>
      <c r="P27" s="5" t="s">
        <v>105</v>
      </c>
      <c r="Q27" s="6" t="s">
        <v>119</v>
      </c>
      <c r="R27" s="6" t="s">
        <v>279</v>
      </c>
      <c r="S27" s="6" t="s">
        <v>298</v>
      </c>
      <c r="T27" s="6" t="s">
        <v>319</v>
      </c>
      <c r="U27" s="5" t="s">
        <v>120</v>
      </c>
      <c r="V27" s="13" t="s">
        <v>141</v>
      </c>
    </row>
    <row r="28" spans="1:22" ht="72" x14ac:dyDescent="0.3">
      <c r="A28" s="18" t="s">
        <v>38</v>
      </c>
      <c r="B28" s="5" t="s">
        <v>118</v>
      </c>
      <c r="C28" s="5" t="s">
        <v>9</v>
      </c>
      <c r="D28" s="6" t="s">
        <v>101</v>
      </c>
      <c r="E28" s="6" t="s">
        <v>67</v>
      </c>
      <c r="F28" s="5">
        <v>0.4</v>
      </c>
      <c r="G28" s="5">
        <v>0.1</v>
      </c>
      <c r="H28" s="5">
        <v>5</v>
      </c>
      <c r="I28" s="5">
        <v>45</v>
      </c>
      <c r="J28" s="6" t="s">
        <v>111</v>
      </c>
      <c r="K28" s="6" t="s">
        <v>71</v>
      </c>
      <c r="L28" s="6" t="s">
        <v>162</v>
      </c>
      <c r="M28" s="6" t="s">
        <v>188</v>
      </c>
      <c r="N28" s="6" t="s">
        <v>215</v>
      </c>
      <c r="O28" s="6" t="s">
        <v>241</v>
      </c>
      <c r="P28" s="5" t="s">
        <v>105</v>
      </c>
      <c r="Q28" s="6" t="s">
        <v>119</v>
      </c>
      <c r="R28" s="6" t="s">
        <v>280</v>
      </c>
      <c r="S28" s="6" t="s">
        <v>299</v>
      </c>
      <c r="T28" s="6" t="s">
        <v>320</v>
      </c>
      <c r="U28" s="5" t="s">
        <v>120</v>
      </c>
      <c r="V28" s="13" t="s">
        <v>142</v>
      </c>
    </row>
    <row r="29" spans="1:22" ht="57.6" x14ac:dyDescent="0.3">
      <c r="A29" s="18" t="s">
        <v>39</v>
      </c>
      <c r="B29" s="5" t="s">
        <v>118</v>
      </c>
      <c r="C29" s="5" t="s">
        <v>9</v>
      </c>
      <c r="D29" s="6" t="s">
        <v>102</v>
      </c>
      <c r="E29" s="6" t="s">
        <v>68</v>
      </c>
      <c r="F29" s="5">
        <v>0.3</v>
      </c>
      <c r="G29" s="5">
        <v>7.0000000000000007E-2</v>
      </c>
      <c r="H29" s="5">
        <v>1</v>
      </c>
      <c r="I29" s="5">
        <v>20</v>
      </c>
      <c r="J29" s="6" t="s">
        <v>111</v>
      </c>
      <c r="K29" s="6" t="s">
        <v>71</v>
      </c>
      <c r="L29" s="6" t="s">
        <v>163</v>
      </c>
      <c r="M29" s="6" t="s">
        <v>189</v>
      </c>
      <c r="N29" s="6" t="s">
        <v>216</v>
      </c>
      <c r="O29" s="6" t="s">
        <v>242</v>
      </c>
      <c r="P29" s="5" t="s">
        <v>105</v>
      </c>
      <c r="Q29" s="6" t="s">
        <v>119</v>
      </c>
      <c r="R29" s="6" t="s">
        <v>119</v>
      </c>
      <c r="S29" s="6" t="s">
        <v>300</v>
      </c>
      <c r="T29" s="6" t="s">
        <v>321</v>
      </c>
      <c r="U29" s="5" t="s">
        <v>120</v>
      </c>
      <c r="V29" s="13" t="s">
        <v>143</v>
      </c>
    </row>
    <row r="30" spans="1:22" ht="57.6" x14ac:dyDescent="0.3">
      <c r="A30" s="18" t="s">
        <v>40</v>
      </c>
      <c r="B30" s="5" t="s">
        <v>118</v>
      </c>
      <c r="C30" s="6" t="s">
        <v>12</v>
      </c>
      <c r="D30" s="6" t="s">
        <v>103</v>
      </c>
      <c r="E30" s="6" t="s">
        <v>69</v>
      </c>
      <c r="F30" s="5">
        <v>0.2</v>
      </c>
      <c r="G30" s="5">
        <v>0.05</v>
      </c>
      <c r="H30" s="5">
        <v>0.5</v>
      </c>
      <c r="I30" s="5">
        <v>30</v>
      </c>
      <c r="J30" s="6" t="s">
        <v>111</v>
      </c>
      <c r="K30" s="6" t="s">
        <v>73</v>
      </c>
      <c r="L30" s="6" t="s">
        <v>164</v>
      </c>
      <c r="M30" s="6" t="s">
        <v>119</v>
      </c>
      <c r="N30" s="6" t="s">
        <v>119</v>
      </c>
      <c r="O30" s="6" t="s">
        <v>119</v>
      </c>
      <c r="P30" s="5" t="s">
        <v>106</v>
      </c>
      <c r="Q30" s="6" t="s">
        <v>119</v>
      </c>
      <c r="R30" s="6" t="s">
        <v>281</v>
      </c>
      <c r="S30" s="6" t="s">
        <v>119</v>
      </c>
      <c r="T30" s="6" t="s">
        <v>119</v>
      </c>
      <c r="U30" s="5" t="s">
        <v>120</v>
      </c>
      <c r="V30" s="13" t="s">
        <v>144</v>
      </c>
    </row>
    <row r="31" spans="1:22" ht="57.6" x14ac:dyDescent="0.3">
      <c r="A31" s="19" t="s">
        <v>41</v>
      </c>
      <c r="B31" s="14" t="s">
        <v>118</v>
      </c>
      <c r="C31" s="14" t="s">
        <v>9</v>
      </c>
      <c r="D31" s="15" t="s">
        <v>104</v>
      </c>
      <c r="E31" s="15" t="s">
        <v>70</v>
      </c>
      <c r="F31" s="14">
        <v>0.05</v>
      </c>
      <c r="G31" s="14">
        <v>1.2E-2</v>
      </c>
      <c r="H31" s="14">
        <v>30.6</v>
      </c>
      <c r="I31" s="14">
        <v>0.04</v>
      </c>
      <c r="J31" s="15" t="s">
        <v>111</v>
      </c>
      <c r="K31" s="15" t="s">
        <v>73</v>
      </c>
      <c r="L31" s="15" t="s">
        <v>165</v>
      </c>
      <c r="M31" s="15" t="s">
        <v>119</v>
      </c>
      <c r="N31" s="15" t="s">
        <v>217</v>
      </c>
      <c r="O31" s="15" t="s">
        <v>243</v>
      </c>
      <c r="P31" s="14" t="s">
        <v>105</v>
      </c>
      <c r="Q31" s="15" t="s">
        <v>119</v>
      </c>
      <c r="R31" s="15" t="s">
        <v>119</v>
      </c>
      <c r="S31" s="15" t="s">
        <v>301</v>
      </c>
      <c r="T31" s="15" t="s">
        <v>322</v>
      </c>
      <c r="U31" s="14" t="s">
        <v>120</v>
      </c>
      <c r="V31" s="16" t="s">
        <v>145</v>
      </c>
    </row>
  </sheetData>
  <mergeCells count="6">
    <mergeCell ref="F1:J1"/>
    <mergeCell ref="U1:V1"/>
    <mergeCell ref="A1:E1"/>
    <mergeCell ref="L1:O1"/>
    <mergeCell ref="K1:K2"/>
    <mergeCell ref="P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B157-9069-48AF-8EEE-715194F121AF}">
  <dimension ref="A1:E14"/>
  <sheetViews>
    <sheetView zoomScale="55" zoomScaleNormal="55" workbookViewId="0">
      <pane xSplit="1" topLeftCell="B1" activePane="topRight" state="frozen"/>
      <selection pane="topRight" activeCell="AH4" sqref="AH4"/>
    </sheetView>
  </sheetViews>
  <sheetFormatPr defaultRowHeight="14.4" x14ac:dyDescent="0.3"/>
  <cols>
    <col min="1" max="1" width="18.5546875" customWidth="1"/>
    <col min="2" max="5" width="11.33203125" style="2" customWidth="1"/>
  </cols>
  <sheetData>
    <row r="1" spans="1:5" s="1" customFormat="1" ht="33" customHeight="1" x14ac:dyDescent="0.3">
      <c r="A1" s="7" t="s">
        <v>329</v>
      </c>
      <c r="B1" s="22" t="s">
        <v>326</v>
      </c>
      <c r="C1" s="22"/>
      <c r="D1" s="22"/>
      <c r="E1" s="22"/>
    </row>
    <row r="2" spans="1:5" s="3" customFormat="1" ht="72" x14ac:dyDescent="0.3">
      <c r="A2" s="8" t="s">
        <v>1</v>
      </c>
      <c r="B2" s="8" t="s">
        <v>246</v>
      </c>
      <c r="C2" s="8" t="s">
        <v>4</v>
      </c>
      <c r="D2" s="8" t="s">
        <v>5</v>
      </c>
      <c r="E2" s="8" t="s">
        <v>247</v>
      </c>
    </row>
    <row r="3" spans="1:5" ht="132.6" customHeight="1" x14ac:dyDescent="0.3">
      <c r="A3" s="20" t="s">
        <v>331</v>
      </c>
      <c r="B3" s="10">
        <v>11</v>
      </c>
      <c r="C3" s="10">
        <v>2.69</v>
      </c>
      <c r="D3" s="10">
        <v>3.28</v>
      </c>
      <c r="E3" s="10">
        <v>82.2</v>
      </c>
    </row>
    <row r="4" spans="1:5" ht="136.19999999999999" customHeight="1" x14ac:dyDescent="0.3">
      <c r="A4" s="21" t="s">
        <v>333</v>
      </c>
      <c r="B4" s="5">
        <v>6</v>
      </c>
      <c r="C4" s="5">
        <v>1.47</v>
      </c>
      <c r="D4" s="5">
        <v>64</v>
      </c>
      <c r="E4" s="5">
        <v>2.2999999999999998</v>
      </c>
    </row>
    <row r="5" spans="1:5" ht="121.8" customHeight="1" x14ac:dyDescent="0.3">
      <c r="A5" s="21" t="s">
        <v>332</v>
      </c>
      <c r="B5" s="5">
        <v>5</v>
      </c>
      <c r="C5" s="5">
        <v>1.22</v>
      </c>
      <c r="D5" s="5">
        <v>19.68</v>
      </c>
      <c r="E5" s="5">
        <v>6.2</v>
      </c>
    </row>
    <row r="6" spans="1:5" ht="97.8" customHeight="1" x14ac:dyDescent="0.3">
      <c r="A6" s="21" t="s">
        <v>335</v>
      </c>
      <c r="B6" s="5">
        <v>4</v>
      </c>
      <c r="C6" s="5">
        <v>0.98</v>
      </c>
      <c r="D6" s="5">
        <v>2.8</v>
      </c>
      <c r="E6" s="5">
        <v>35</v>
      </c>
    </row>
    <row r="7" spans="1:5" ht="107.4" customHeight="1" x14ac:dyDescent="0.3">
      <c r="A7" s="21" t="s">
        <v>336</v>
      </c>
      <c r="B7" s="5">
        <v>3</v>
      </c>
      <c r="C7" s="5">
        <v>0.73</v>
      </c>
      <c r="D7" s="5">
        <v>52.1</v>
      </c>
      <c r="E7" s="5">
        <v>1.4</v>
      </c>
    </row>
    <row r="8" spans="1:5" ht="114.6" customHeight="1" x14ac:dyDescent="0.3">
      <c r="A8" s="21" t="s">
        <v>334</v>
      </c>
      <c r="B8" s="5">
        <v>2</v>
      </c>
      <c r="C8" s="5">
        <v>0.49</v>
      </c>
      <c r="D8" s="5">
        <v>24.5</v>
      </c>
      <c r="E8" s="5">
        <v>2</v>
      </c>
    </row>
    <row r="9" spans="1:5" ht="107.4" customHeight="1" x14ac:dyDescent="0.3">
      <c r="A9" s="21" t="s">
        <v>337</v>
      </c>
      <c r="B9" s="5">
        <v>50</v>
      </c>
      <c r="C9" s="5"/>
      <c r="D9" s="5"/>
      <c r="E9" s="5"/>
    </row>
    <row r="10" spans="1:5" ht="42.6" customHeight="1" x14ac:dyDescent="0.3">
      <c r="A10" s="18" t="s">
        <v>117</v>
      </c>
      <c r="B10" s="5">
        <v>16</v>
      </c>
      <c r="C10" s="5"/>
      <c r="D10" s="5"/>
      <c r="E10" s="5"/>
    </row>
    <row r="11" spans="1:5" ht="30.6" customHeight="1" x14ac:dyDescent="0.3">
      <c r="A11" s="18" t="s">
        <v>118</v>
      </c>
      <c r="B11" s="5">
        <v>2</v>
      </c>
      <c r="C11" s="5"/>
      <c r="D11" s="5"/>
      <c r="E11" s="5"/>
    </row>
    <row r="12" spans="1:5" ht="49.2" customHeight="1" x14ac:dyDescent="0.3">
      <c r="B12" s="2">
        <f>SUM(B3:B8)+B9+B10+B11</f>
        <v>99</v>
      </c>
    </row>
    <row r="14" spans="1:5" x14ac:dyDescent="0.3">
      <c r="B14" s="2">
        <f>B12-100</f>
        <v>-1</v>
      </c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Участники рынка ЦД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 Волченко</cp:lastModifiedBy>
  <dcterms:created xsi:type="dcterms:W3CDTF">2025-07-22T17:52:15Z</dcterms:created>
  <dcterms:modified xsi:type="dcterms:W3CDTF">2025-08-29T09:07:09Z</dcterms:modified>
</cp:coreProperties>
</file>